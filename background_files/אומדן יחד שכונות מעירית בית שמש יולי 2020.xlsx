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irm\בית שמש\"/>
    </mc:Choice>
  </mc:AlternateContent>
  <xr:revisionPtr revIDLastSave="0" documentId="8_{9946B855-43D4-4DA4-A2A0-B04ACABAF621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גיליון1" sheetId="1" r:id="rId1"/>
    <sheet name="גיליון1 (2)" sheetId="2" r:id="rId2"/>
  </sheets>
  <definedNames>
    <definedName name="_xlnm.Print_Area" localSheetId="1">'גיליון1 (2)'!$A$1:$E$58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3" i="2"/>
  <c r="D4" i="2"/>
  <c r="D5" i="2"/>
  <c r="D6" i="2"/>
  <c r="D7" i="2"/>
  <c r="D2" i="2"/>
  <c r="C43" i="2" l="1"/>
  <c r="D43" i="2" s="1"/>
  <c r="C34" i="2"/>
  <c r="D34" i="2" s="1"/>
  <c r="C32" i="2"/>
  <c r="C25" i="2" s="1"/>
  <c r="D25" i="2" s="1"/>
  <c r="C11" i="2"/>
  <c r="D11" i="2" s="1"/>
  <c r="C21" i="2"/>
  <c r="D21" i="2" s="1"/>
  <c r="C53" i="2"/>
  <c r="D53" i="2" s="1"/>
  <c r="C8" i="2" l="1"/>
  <c r="D8" i="2" s="1"/>
  <c r="C15" i="2"/>
  <c r="D15" i="2" s="1"/>
  <c r="D58" i="2" l="1"/>
  <c r="G2" i="2"/>
  <c r="F10" i="1"/>
  <c r="F9" i="1"/>
  <c r="D8" i="1" l="1"/>
  <c r="F8" i="1"/>
  <c r="F3" i="1"/>
  <c r="F4" i="1"/>
  <c r="F5" i="1"/>
  <c r="D2" i="1"/>
  <c r="F2" i="1" s="1"/>
  <c r="F7" i="1"/>
  <c r="F6" i="1" l="1"/>
</calcChain>
</file>

<file path=xl/sharedStrings.xml><?xml version="1.0" encoding="utf-8"?>
<sst xmlns="http://schemas.openxmlformats.org/spreadsheetml/2006/main" count="136" uniqueCount="104">
  <si>
    <t>שכונה</t>
  </si>
  <si>
    <t>תב"ע</t>
  </si>
  <si>
    <t>יח"ד ע"פ תב"ע</t>
  </si>
  <si>
    <t xml:space="preserve">שבס 20% </t>
  </si>
  <si>
    <t>דיור מוגן</t>
  </si>
  <si>
    <t>סה"כ (ללא דיור מוגן)</t>
  </si>
  <si>
    <t>מס' יח"ד מאוכלסות</t>
  </si>
  <si>
    <t>מס' יח"ד בבניה</t>
  </si>
  <si>
    <t>מס' יח"ד שקיבלו היתר בניה</t>
  </si>
  <si>
    <t>מס' יח"ד המיועדות לבניה בעתיד</t>
  </si>
  <si>
    <t>הערה</t>
  </si>
  <si>
    <t>ד1</t>
  </si>
  <si>
    <t>102-0074732</t>
  </si>
  <si>
    <t>ד2</t>
  </si>
  <si>
    <t>102-0066951</t>
  </si>
  <si>
    <t>ד3</t>
  </si>
  <si>
    <t>102-0073593</t>
  </si>
  <si>
    <t>ד4</t>
  </si>
  <si>
    <t>102-0082552</t>
  </si>
  <si>
    <t>ד5</t>
  </si>
  <si>
    <t>102-0062257</t>
  </si>
  <si>
    <t>ה1</t>
  </si>
  <si>
    <t>102-0055277</t>
  </si>
  <si>
    <t>ה2</t>
  </si>
  <si>
    <t>102-0054791</t>
  </si>
  <si>
    <t>מע"ר</t>
  </si>
  <si>
    <t>בש/168</t>
  </si>
  <si>
    <t>גולובנציץ</t>
  </si>
  <si>
    <t>מי/במ/841</t>
  </si>
  <si>
    <t>מ'-3</t>
  </si>
  <si>
    <t>בש/186</t>
  </si>
  <si>
    <t>משקפיים</t>
  </si>
  <si>
    <t>בש/181</t>
  </si>
  <si>
    <t>ג'1</t>
  </si>
  <si>
    <t>בש/158</t>
  </si>
  <si>
    <t>ג'2</t>
  </si>
  <si>
    <t>בש/160א</t>
  </si>
  <si>
    <t>רמב"ש א'</t>
  </si>
  <si>
    <t>רמב"ש ב'</t>
  </si>
  <si>
    <t>מי/853א</t>
  </si>
  <si>
    <t>עלית</t>
  </si>
  <si>
    <t>בש/135</t>
  </si>
  <si>
    <t>נופי שמש</t>
  </si>
  <si>
    <t>בש/853/כד</t>
  </si>
  <si>
    <t>רמת נריה</t>
  </si>
  <si>
    <t>102-0234153</t>
  </si>
  <si>
    <t>בש/853/יב</t>
  </si>
  <si>
    <t>מגורים וספורט בכניסה לעיר</t>
  </si>
  <si>
    <t>102-0360032</t>
  </si>
  <si>
    <t>משכנות השמש</t>
  </si>
  <si>
    <t>102-0512699</t>
  </si>
  <si>
    <t>התחדשות עירונית</t>
  </si>
  <si>
    <t>102-0081398</t>
  </si>
  <si>
    <t>ג1</t>
  </si>
  <si>
    <t>גבעת שרת</t>
  </si>
  <si>
    <t>בש/200</t>
  </si>
  <si>
    <t>ת/30ג/5/32</t>
  </si>
  <si>
    <t>ת/30א/5/32</t>
  </si>
  <si>
    <t>תרש"צ/5/32/14</t>
  </si>
  <si>
    <t>אחרי אישור התב''ע דיור מיוחד הוחלפו לדיורות רגילות</t>
  </si>
  <si>
    <t>102-0482380</t>
  </si>
  <si>
    <t>מוסיפה 5 יח''ד; סה''כ 32 יח''ד בתחום התכנית</t>
  </si>
  <si>
    <t>102-0403899</t>
  </si>
  <si>
    <t>102-0480376</t>
  </si>
  <si>
    <t>102-0122945</t>
  </si>
  <si>
    <t>102-0440016</t>
  </si>
  <si>
    <t>102-0570382</t>
  </si>
  <si>
    <t>רמת אברהם</t>
  </si>
  <si>
    <t>מי/במ/835</t>
  </si>
  <si>
    <t>בש/835/ח</t>
  </si>
  <si>
    <t>אזור מסביב למע''ר</t>
  </si>
  <si>
    <t>מי/במ/836</t>
  </si>
  <si>
    <t>מי/במ/853</t>
  </si>
  <si>
    <t>מי/853/א</t>
  </si>
  <si>
    <t>בש/מק/853/ג</t>
  </si>
  <si>
    <t>102-0110189</t>
  </si>
  <si>
    <t>102-0344945</t>
  </si>
  <si>
    <t>תב''ע מקורית מאשרת 70 יח''ד ולפי היתרי בניה יש 74 יח''ד</t>
  </si>
  <si>
    <t>102-0496455</t>
  </si>
  <si>
    <t>102-0545251</t>
  </si>
  <si>
    <t>9 יח''ד קטנות מתוך 27</t>
  </si>
  <si>
    <t>102-0554329</t>
  </si>
  <si>
    <t>רמב"ש ג' 1</t>
  </si>
  <si>
    <t>עוד 56 יח''ד "לתכנון מגורים בעתיד"</t>
  </si>
  <si>
    <t>בש/מק/158א</t>
  </si>
  <si>
    <t>בש/מק/158ג</t>
  </si>
  <si>
    <t>בש/מק/158ד</t>
  </si>
  <si>
    <t>102-0116327</t>
  </si>
  <si>
    <t>102-0117572</t>
  </si>
  <si>
    <t>102-0157677</t>
  </si>
  <si>
    <t>102-0166728</t>
  </si>
  <si>
    <t>רמב"ש ג' 2</t>
  </si>
  <si>
    <t>102-0241638</t>
  </si>
  <si>
    <t>102-0261594</t>
  </si>
  <si>
    <t>102-0366088</t>
  </si>
  <si>
    <t>102-0396457</t>
  </si>
  <si>
    <t>102-0396523</t>
  </si>
  <si>
    <t>102-0485458</t>
  </si>
  <si>
    <t>102-0502658</t>
  </si>
  <si>
    <t>102-0559799</t>
  </si>
  <si>
    <t>בש/מק/853/יד</t>
  </si>
  <si>
    <t>בש/853/כא</t>
  </si>
  <si>
    <t>מתוכם 24 דירות קטנות</t>
  </si>
  <si>
    <t>סה"כ יח"ד חדשות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</si>
</sst>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Assistant"/>
    </font>
    <font>
      <b/>
      <sz val="10"/>
      <color theme="0"/>
      <name val="Tahoma"/>
      <family val="2"/>
    </font>
    <font>
      <sz val="10"/>
      <color rgb="FFA6A6A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horizontal="center" vertical="center" wrapText="1" readingOrder="1"/>
      <protection locked="0"/>
    </xf>
    <xf numFmtId="1" fontId="4" fillId="0" borderId="1" xfId="0" applyNumberFormat="1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rightToLeft="1" workbookViewId="0">
      <selection activeCell="B14" sqref="B14"/>
    </sheetView>
  </sheetViews>
  <sheetFormatPr defaultRowHeight="13.8" x14ac:dyDescent="0.25"/>
  <cols>
    <col min="1" max="1" width="9.09765625" customWidth="1"/>
    <col min="2" max="2" width="11.5" bestFit="1" customWidth="1"/>
    <col min="3" max="3" width="9.19921875" customWidth="1"/>
    <col min="4" max="4" width="10" bestFit="1" customWidth="1"/>
    <col min="5" max="5" width="10" customWidth="1"/>
    <col min="6" max="6" width="8.19921875" customWidth="1"/>
  </cols>
  <sheetData>
    <row r="1" spans="1:11" ht="51.75" customHeight="1" x14ac:dyDescent="0.25">
      <c r="A1" s="9" t="s">
        <v>0</v>
      </c>
      <c r="B1" s="9" t="s">
        <v>1</v>
      </c>
      <c r="C1" s="11" t="s">
        <v>2</v>
      </c>
      <c r="D1" s="10" t="s">
        <v>3</v>
      </c>
      <c r="E1" s="9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8" t="s">
        <v>11</v>
      </c>
      <c r="B2" s="22" t="s">
        <v>12</v>
      </c>
      <c r="C2" s="22">
        <v>1230</v>
      </c>
      <c r="D2" s="22">
        <f>C2*0.2</f>
        <v>246</v>
      </c>
      <c r="E2" s="22">
        <v>200</v>
      </c>
      <c r="F2" s="3">
        <f t="shared" ref="F2:F5" si="0">D2+C2</f>
        <v>1476</v>
      </c>
      <c r="G2" s="4"/>
      <c r="H2" s="4"/>
      <c r="I2" s="4"/>
      <c r="J2" s="5"/>
      <c r="K2" s="5"/>
    </row>
    <row r="3" spans="1:11" x14ac:dyDescent="0.25">
      <c r="A3" s="8" t="s">
        <v>13</v>
      </c>
      <c r="B3" s="22" t="s">
        <v>14</v>
      </c>
      <c r="C3" s="22">
        <v>1322</v>
      </c>
      <c r="D3" s="22">
        <v>265</v>
      </c>
      <c r="E3" s="22">
        <v>150</v>
      </c>
      <c r="F3" s="3">
        <f t="shared" si="0"/>
        <v>1587</v>
      </c>
      <c r="G3" s="4"/>
      <c r="H3" s="4"/>
      <c r="I3" s="4"/>
      <c r="J3" s="5"/>
      <c r="K3" s="5"/>
    </row>
    <row r="4" spans="1:11" x14ac:dyDescent="0.25">
      <c r="A4" s="8" t="s">
        <v>15</v>
      </c>
      <c r="B4" s="22" t="s">
        <v>16</v>
      </c>
      <c r="C4" s="22">
        <v>2246</v>
      </c>
      <c r="D4" s="22">
        <v>450</v>
      </c>
      <c r="E4" s="22">
        <v>200</v>
      </c>
      <c r="F4" s="3">
        <f t="shared" si="0"/>
        <v>2696</v>
      </c>
      <c r="G4" s="4"/>
      <c r="H4" s="4"/>
      <c r="I4" s="4"/>
      <c r="J4" s="5"/>
      <c r="K4" s="5"/>
    </row>
    <row r="5" spans="1:11" x14ac:dyDescent="0.25">
      <c r="A5" s="8" t="s">
        <v>17</v>
      </c>
      <c r="B5" s="22" t="s">
        <v>18</v>
      </c>
      <c r="C5" s="22">
        <v>1639</v>
      </c>
      <c r="D5" s="22">
        <v>328</v>
      </c>
      <c r="E5" s="22">
        <v>200</v>
      </c>
      <c r="F5" s="3">
        <f t="shared" si="0"/>
        <v>1967</v>
      </c>
      <c r="G5" s="4"/>
      <c r="H5" s="4"/>
      <c r="I5" s="4"/>
      <c r="J5" s="5"/>
      <c r="K5" s="5"/>
    </row>
    <row r="6" spans="1:11" x14ac:dyDescent="0.25">
      <c r="A6" s="8" t="s">
        <v>19</v>
      </c>
      <c r="B6" s="24" t="s">
        <v>20</v>
      </c>
      <c r="C6" s="22">
        <v>836</v>
      </c>
      <c r="D6" s="6">
        <v>168</v>
      </c>
      <c r="E6" s="6">
        <v>200</v>
      </c>
      <c r="F6" s="3">
        <f>D6+C6</f>
        <v>1004</v>
      </c>
      <c r="G6" s="4"/>
      <c r="H6" s="4"/>
      <c r="I6" s="4"/>
      <c r="J6" s="5"/>
      <c r="K6" s="5"/>
    </row>
    <row r="7" spans="1:11" x14ac:dyDescent="0.25">
      <c r="A7" s="8"/>
      <c r="B7" s="24"/>
      <c r="C7" s="22">
        <v>911</v>
      </c>
      <c r="D7" s="6">
        <v>183</v>
      </c>
      <c r="E7" s="6">
        <v>200</v>
      </c>
      <c r="F7" s="3">
        <f>D7+C7</f>
        <v>1094</v>
      </c>
      <c r="G7" s="4"/>
      <c r="H7" s="4"/>
      <c r="I7" s="4"/>
      <c r="J7" s="5"/>
      <c r="K7" s="5"/>
    </row>
    <row r="8" spans="1:11" x14ac:dyDescent="0.25">
      <c r="A8" s="8" t="s">
        <v>21</v>
      </c>
      <c r="B8" s="22" t="s">
        <v>22</v>
      </c>
      <c r="C8" s="22">
        <v>2410</v>
      </c>
      <c r="D8" s="22">
        <f>C8*0.2</f>
        <v>482</v>
      </c>
      <c r="E8" s="22">
        <v>225</v>
      </c>
      <c r="F8" s="22">
        <f>D8+C8</f>
        <v>2892</v>
      </c>
      <c r="G8" s="4"/>
      <c r="H8" s="4"/>
      <c r="I8" s="4"/>
      <c r="J8" s="5"/>
      <c r="K8" s="5"/>
    </row>
    <row r="9" spans="1:11" x14ac:dyDescent="0.25">
      <c r="A9" s="8" t="s">
        <v>23</v>
      </c>
      <c r="B9" s="22" t="s">
        <v>24</v>
      </c>
      <c r="C9" s="22">
        <v>3034</v>
      </c>
      <c r="D9" s="22"/>
      <c r="E9" s="22">
        <v>240</v>
      </c>
      <c r="F9" s="22">
        <f>D9+C9</f>
        <v>3034</v>
      </c>
      <c r="G9" s="4"/>
      <c r="H9" s="4"/>
      <c r="I9" s="4"/>
      <c r="J9" s="5"/>
      <c r="K9" s="5"/>
    </row>
    <row r="10" spans="1:11" x14ac:dyDescent="0.25">
      <c r="A10" s="8" t="s">
        <v>25</v>
      </c>
      <c r="B10" s="8" t="s">
        <v>26</v>
      </c>
      <c r="C10" s="22">
        <v>120</v>
      </c>
      <c r="D10" s="4"/>
      <c r="E10" s="4"/>
      <c r="F10" s="22">
        <f>D10+C10</f>
        <v>120</v>
      </c>
      <c r="G10" s="4"/>
      <c r="H10" s="4"/>
      <c r="I10" s="4"/>
      <c r="J10" s="5"/>
      <c r="K10" s="5"/>
    </row>
    <row r="11" spans="1:11" x14ac:dyDescent="0.25">
      <c r="A11" s="8" t="s">
        <v>27</v>
      </c>
      <c r="B11" s="8" t="s">
        <v>28</v>
      </c>
      <c r="C11" s="22">
        <v>2928</v>
      </c>
      <c r="D11" s="4"/>
      <c r="E11" s="4"/>
      <c r="F11" s="4"/>
      <c r="G11" s="4"/>
      <c r="H11" s="4"/>
      <c r="I11" s="4"/>
      <c r="J11" s="5"/>
      <c r="K11" s="5"/>
    </row>
    <row r="12" spans="1:11" x14ac:dyDescent="0.25">
      <c r="A12" s="8" t="s">
        <v>29</v>
      </c>
      <c r="B12" s="8" t="s">
        <v>30</v>
      </c>
      <c r="C12" s="22">
        <v>332</v>
      </c>
      <c r="D12" s="4"/>
      <c r="E12" s="4"/>
      <c r="F12" s="4"/>
      <c r="G12" s="4"/>
      <c r="H12" s="4"/>
      <c r="I12" s="4"/>
      <c r="J12" s="5"/>
      <c r="K12" s="5"/>
    </row>
    <row r="13" spans="1:11" x14ac:dyDescent="0.25">
      <c r="A13" s="8" t="s">
        <v>31</v>
      </c>
      <c r="B13" s="8" t="s">
        <v>32</v>
      </c>
      <c r="C13" s="22">
        <v>469</v>
      </c>
      <c r="D13" s="4"/>
      <c r="E13" s="4"/>
      <c r="F13" s="4"/>
      <c r="G13" s="4"/>
      <c r="H13" s="4"/>
      <c r="I13" s="4"/>
      <c r="J13" s="5"/>
      <c r="K13" s="5"/>
    </row>
    <row r="14" spans="1:11" x14ac:dyDescent="0.25">
      <c r="A14" s="8" t="s">
        <v>33</v>
      </c>
      <c r="B14" s="22" t="s">
        <v>34</v>
      </c>
      <c r="C14" s="22"/>
      <c r="D14" s="4"/>
      <c r="E14" s="4"/>
      <c r="F14" s="4"/>
      <c r="G14" s="4"/>
      <c r="H14" s="4"/>
      <c r="I14" s="4"/>
      <c r="J14" s="5"/>
      <c r="K14" s="5"/>
    </row>
    <row r="15" spans="1:11" x14ac:dyDescent="0.25">
      <c r="A15" s="8" t="s">
        <v>35</v>
      </c>
      <c r="B15" s="8" t="s">
        <v>36</v>
      </c>
      <c r="C15" s="22">
        <v>1800</v>
      </c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8" t="s">
        <v>37</v>
      </c>
      <c r="B16" s="8"/>
      <c r="C16" s="22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8" t="s">
        <v>38</v>
      </c>
      <c r="B17" s="8" t="s">
        <v>39</v>
      </c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8" t="s">
        <v>40</v>
      </c>
      <c r="B18" s="8" t="s">
        <v>41</v>
      </c>
      <c r="C18" s="22">
        <v>340</v>
      </c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8" t="s">
        <v>42</v>
      </c>
      <c r="B19" s="8" t="s">
        <v>43</v>
      </c>
      <c r="C19" s="22"/>
      <c r="D19" s="5"/>
      <c r="E19" s="5"/>
      <c r="F19" s="5"/>
      <c r="G19" s="5"/>
      <c r="H19" s="5"/>
      <c r="I19" s="5"/>
      <c r="J19" s="5"/>
      <c r="K19" s="5"/>
    </row>
    <row r="20" spans="1:11" ht="16.5" customHeight="1" x14ac:dyDescent="0.25">
      <c r="A20" s="8" t="s">
        <v>44</v>
      </c>
      <c r="B20" s="8" t="s">
        <v>45</v>
      </c>
      <c r="C20" s="22">
        <v>172</v>
      </c>
      <c r="D20" s="5"/>
      <c r="E20" s="5"/>
      <c r="F20" s="5"/>
      <c r="G20" s="5"/>
      <c r="H20" s="5"/>
      <c r="I20" s="5"/>
      <c r="J20" s="5"/>
      <c r="K20" s="5"/>
    </row>
    <row r="21" spans="1:11" ht="16.5" customHeight="1" x14ac:dyDescent="0.25">
      <c r="A21" s="8" t="s">
        <v>42</v>
      </c>
      <c r="B21" s="8" t="s">
        <v>46</v>
      </c>
      <c r="C21" s="22">
        <v>380</v>
      </c>
      <c r="D21" s="5"/>
      <c r="E21" s="5"/>
      <c r="F21" s="5"/>
      <c r="G21" s="5"/>
      <c r="H21" s="5"/>
      <c r="I21" s="5"/>
      <c r="J21" s="5"/>
      <c r="K21" s="5"/>
    </row>
    <row r="22" spans="1:11" s="1" customFormat="1" ht="52.8" x14ac:dyDescent="0.25">
      <c r="A22" s="8" t="s">
        <v>47</v>
      </c>
      <c r="B22" s="8" t="s">
        <v>48</v>
      </c>
      <c r="C22" s="22">
        <v>250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B23" s="1"/>
    </row>
    <row r="24" spans="1:11" ht="26.4" x14ac:dyDescent="0.25">
      <c r="A24" s="2" t="s">
        <v>49</v>
      </c>
      <c r="B24" s="2" t="s">
        <v>50</v>
      </c>
    </row>
    <row r="25" spans="1:11" ht="26.4" x14ac:dyDescent="0.25">
      <c r="A25" s="2" t="s">
        <v>51</v>
      </c>
      <c r="B25" s="2" t="s">
        <v>52</v>
      </c>
    </row>
    <row r="27" spans="1:11" x14ac:dyDescent="0.25">
      <c r="A27" s="13" t="s">
        <v>53</v>
      </c>
      <c r="B27" s="13">
        <v>2318</v>
      </c>
      <c r="C27" s="13"/>
    </row>
    <row r="28" spans="1:11" x14ac:dyDescent="0.25">
      <c r="A28" s="13"/>
      <c r="B28" s="13"/>
      <c r="C28" s="13"/>
    </row>
    <row r="29" spans="1:11" x14ac:dyDescent="0.25">
      <c r="A29" s="15" t="s">
        <v>54</v>
      </c>
      <c r="B29" s="14" t="s">
        <v>55</v>
      </c>
      <c r="C29" s="13"/>
    </row>
    <row r="30" spans="1:11" x14ac:dyDescent="0.25">
      <c r="A30" s="15"/>
      <c r="B30" s="14" t="s">
        <v>56</v>
      </c>
      <c r="C30" s="13"/>
    </row>
    <row r="31" spans="1:11" x14ac:dyDescent="0.25">
      <c r="A31" s="15"/>
      <c r="B31" s="14" t="s">
        <v>57</v>
      </c>
      <c r="C31" s="13"/>
    </row>
    <row r="32" spans="1:11" x14ac:dyDescent="0.25">
      <c r="A32" s="15"/>
      <c r="B32" s="14" t="s">
        <v>58</v>
      </c>
      <c r="C32" s="13"/>
    </row>
    <row r="33" spans="1:3" x14ac:dyDescent="0.25">
      <c r="A33" s="13"/>
      <c r="B33" s="13"/>
      <c r="C33" s="13"/>
    </row>
  </sheetData>
  <mergeCells count="1">
    <mergeCell ref="B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8"/>
  <sheetViews>
    <sheetView rightToLeft="1" tabSelected="1" workbookViewId="0">
      <selection sqref="A1:E58"/>
    </sheetView>
  </sheetViews>
  <sheetFormatPr defaultRowHeight="13.8" x14ac:dyDescent="0.25"/>
  <cols>
    <col min="1" max="1" width="15.8984375" customWidth="1"/>
    <col min="2" max="2" width="11.5" bestFit="1" customWidth="1"/>
    <col min="3" max="3" width="9.19921875" style="1" customWidth="1"/>
    <col min="4" max="4" width="10" bestFit="1" customWidth="1"/>
    <col min="5" max="5" width="43.69921875" bestFit="1" customWidth="1"/>
    <col min="8" max="8" width="14.3984375" bestFit="1" customWidth="1"/>
  </cols>
  <sheetData>
    <row r="1" spans="1:8" ht="51.75" customHeight="1" x14ac:dyDescent="0.25">
      <c r="A1" s="17" t="s">
        <v>0</v>
      </c>
      <c r="B1" s="17" t="s">
        <v>1</v>
      </c>
      <c r="C1" s="18" t="s">
        <v>2</v>
      </c>
      <c r="D1" s="17" t="s">
        <v>3</v>
      </c>
      <c r="E1" s="18" t="s">
        <v>10</v>
      </c>
    </row>
    <row r="2" spans="1:8" x14ac:dyDescent="0.25">
      <c r="A2" s="16" t="s">
        <v>11</v>
      </c>
      <c r="B2" s="16" t="s">
        <v>12</v>
      </c>
      <c r="C2" s="16">
        <v>1030</v>
      </c>
      <c r="D2" s="22">
        <f>ROUNDUP(C2*1.15,0)</f>
        <v>1185</v>
      </c>
      <c r="E2" s="5"/>
      <c r="G2" s="4">
        <f>SUM(D2:D53)</f>
        <v>30515</v>
      </c>
      <c r="H2" s="19" t="s">
        <v>103</v>
      </c>
    </row>
    <row r="3" spans="1:8" x14ac:dyDescent="0.25">
      <c r="A3" s="16" t="s">
        <v>13</v>
      </c>
      <c r="B3" s="16" t="s">
        <v>14</v>
      </c>
      <c r="C3" s="16">
        <v>1322</v>
      </c>
      <c r="D3" s="22">
        <f t="shared" ref="D3:D8" si="0">ROUNDUP(C3*1.15,0)</f>
        <v>1521</v>
      </c>
      <c r="E3" s="5"/>
    </row>
    <row r="4" spans="1:8" x14ac:dyDescent="0.25">
      <c r="A4" s="16" t="s">
        <v>15</v>
      </c>
      <c r="B4" s="16" t="s">
        <v>16</v>
      </c>
      <c r="C4" s="16">
        <v>2246</v>
      </c>
      <c r="D4" s="22">
        <f t="shared" si="0"/>
        <v>2583</v>
      </c>
      <c r="E4" s="5"/>
    </row>
    <row r="5" spans="1:8" x14ac:dyDescent="0.25">
      <c r="A5" s="16" t="s">
        <v>17</v>
      </c>
      <c r="B5" s="16" t="s">
        <v>18</v>
      </c>
      <c r="C5" s="16">
        <v>1639</v>
      </c>
      <c r="D5" s="22">
        <f t="shared" si="0"/>
        <v>1885</v>
      </c>
      <c r="E5" s="5"/>
    </row>
    <row r="6" spans="1:8" x14ac:dyDescent="0.25">
      <c r="A6" s="16" t="s">
        <v>19</v>
      </c>
      <c r="B6" s="16" t="s">
        <v>20</v>
      </c>
      <c r="C6" s="16">
        <v>836</v>
      </c>
      <c r="D6" s="22">
        <f t="shared" si="0"/>
        <v>962</v>
      </c>
      <c r="E6" s="5"/>
    </row>
    <row r="7" spans="1:8" x14ac:dyDescent="0.25">
      <c r="A7" s="16" t="s">
        <v>21</v>
      </c>
      <c r="B7" s="16" t="s">
        <v>22</v>
      </c>
      <c r="C7" s="16">
        <v>2410</v>
      </c>
      <c r="D7" s="22">
        <f t="shared" si="0"/>
        <v>2772</v>
      </c>
      <c r="E7" s="5"/>
    </row>
    <row r="8" spans="1:8" x14ac:dyDescent="0.25">
      <c r="A8" s="16" t="s">
        <v>25</v>
      </c>
      <c r="B8" s="16"/>
      <c r="C8" s="16">
        <f>SUM(C9:C10)</f>
        <v>194</v>
      </c>
      <c r="D8" s="22">
        <f t="shared" si="0"/>
        <v>224</v>
      </c>
      <c r="E8" s="19" t="s">
        <v>59</v>
      </c>
    </row>
    <row r="9" spans="1:8" x14ac:dyDescent="0.25">
      <c r="A9" s="7"/>
      <c r="B9" s="20" t="s">
        <v>26</v>
      </c>
      <c r="C9" s="20">
        <v>189</v>
      </c>
      <c r="D9" s="4"/>
      <c r="E9" s="19"/>
    </row>
    <row r="10" spans="1:8" x14ac:dyDescent="0.25">
      <c r="A10" s="7"/>
      <c r="B10" s="20" t="s">
        <v>60</v>
      </c>
      <c r="C10" s="20">
        <v>5</v>
      </c>
      <c r="D10" s="4"/>
      <c r="E10" s="19" t="s">
        <v>61</v>
      </c>
    </row>
    <row r="11" spans="1:8" x14ac:dyDescent="0.25">
      <c r="A11" s="16" t="s">
        <v>29</v>
      </c>
      <c r="B11" s="16"/>
      <c r="C11" s="16">
        <f>SUM(C12:C14)</f>
        <v>367</v>
      </c>
      <c r="D11" s="22">
        <f t="shared" ref="D11" si="1">ROUNDUP(C11*1.15,0)</f>
        <v>423</v>
      </c>
      <c r="E11" s="5"/>
    </row>
    <row r="12" spans="1:8" x14ac:dyDescent="0.25">
      <c r="A12" s="7"/>
      <c r="B12" s="21" t="s">
        <v>30</v>
      </c>
      <c r="C12" s="20">
        <v>350</v>
      </c>
      <c r="D12" s="4"/>
      <c r="E12" s="5"/>
    </row>
    <row r="13" spans="1:8" x14ac:dyDescent="0.25">
      <c r="A13" s="7"/>
      <c r="B13" s="21" t="s">
        <v>62</v>
      </c>
      <c r="C13" s="20">
        <v>10</v>
      </c>
      <c r="D13" s="4"/>
      <c r="E13" s="5"/>
    </row>
    <row r="14" spans="1:8" x14ac:dyDescent="0.25">
      <c r="A14" s="7"/>
      <c r="B14" s="21" t="s">
        <v>63</v>
      </c>
      <c r="C14" s="20">
        <v>7</v>
      </c>
      <c r="D14" s="4"/>
      <c r="E14" s="5"/>
    </row>
    <row r="15" spans="1:8" x14ac:dyDescent="0.25">
      <c r="A15" s="16" t="s">
        <v>31</v>
      </c>
      <c r="B15" s="16"/>
      <c r="C15" s="16">
        <f>SUM(C16:C19)</f>
        <v>678</v>
      </c>
      <c r="D15" s="22">
        <f t="shared" ref="D15" si="2">ROUNDUP(C15*1.15,0)</f>
        <v>780</v>
      </c>
      <c r="E15" s="5"/>
    </row>
    <row r="16" spans="1:8" x14ac:dyDescent="0.25">
      <c r="A16" s="7"/>
      <c r="B16" s="20" t="s">
        <v>32</v>
      </c>
      <c r="C16" s="20">
        <v>469</v>
      </c>
      <c r="D16" s="4"/>
      <c r="E16" s="5"/>
    </row>
    <row r="17" spans="1:5" x14ac:dyDescent="0.25">
      <c r="A17" s="7"/>
      <c r="B17" s="20" t="s">
        <v>64</v>
      </c>
      <c r="C17" s="20">
        <v>206</v>
      </c>
      <c r="D17" s="4"/>
      <c r="E17" s="5"/>
    </row>
    <row r="18" spans="1:5" x14ac:dyDescent="0.25">
      <c r="A18" s="7"/>
      <c r="B18" s="20" t="s">
        <v>65</v>
      </c>
      <c r="C18" s="20">
        <v>2</v>
      </c>
      <c r="D18" s="4"/>
      <c r="E18" s="5"/>
    </row>
    <row r="19" spans="1:5" x14ac:dyDescent="0.25">
      <c r="A19" s="7"/>
      <c r="B19" s="20" t="s">
        <v>66</v>
      </c>
      <c r="C19" s="20">
        <v>1</v>
      </c>
      <c r="D19" s="4"/>
      <c r="E19" s="5"/>
    </row>
    <row r="20" spans="1:5" x14ac:dyDescent="0.25">
      <c r="A20" s="16" t="s">
        <v>67</v>
      </c>
      <c r="B20" s="16" t="s">
        <v>28</v>
      </c>
      <c r="C20" s="16">
        <v>3824</v>
      </c>
      <c r="D20" s="22">
        <f t="shared" ref="D20" si="3">ROUNDUP(C20*1.15,0)</f>
        <v>4398</v>
      </c>
      <c r="E20" s="5"/>
    </row>
    <row r="21" spans="1:5" x14ac:dyDescent="0.25">
      <c r="A21" s="16" t="s">
        <v>37</v>
      </c>
      <c r="B21" s="16"/>
      <c r="C21" s="16">
        <f>SUM(C22:C24)</f>
        <v>4842</v>
      </c>
      <c r="D21" s="22">
        <f>C21</f>
        <v>4842</v>
      </c>
      <c r="E21" s="5"/>
    </row>
    <row r="22" spans="1:5" x14ac:dyDescent="0.25">
      <c r="A22" s="7"/>
      <c r="B22" s="20" t="s">
        <v>68</v>
      </c>
      <c r="C22" s="20">
        <v>2700</v>
      </c>
      <c r="D22" s="4"/>
      <c r="E22" s="5"/>
    </row>
    <row r="23" spans="1:5" x14ac:dyDescent="0.25">
      <c r="A23" s="7"/>
      <c r="B23" s="20" t="s">
        <v>69</v>
      </c>
      <c r="C23" s="20">
        <v>542</v>
      </c>
      <c r="D23" s="4"/>
      <c r="E23" s="5" t="s">
        <v>70</v>
      </c>
    </row>
    <row r="24" spans="1:5" x14ac:dyDescent="0.25">
      <c r="A24" s="7"/>
      <c r="B24" s="20" t="s">
        <v>71</v>
      </c>
      <c r="C24" s="20">
        <v>1600</v>
      </c>
      <c r="D24" s="4"/>
      <c r="E24" s="5"/>
    </row>
    <row r="25" spans="1:5" x14ac:dyDescent="0.25">
      <c r="A25" s="16" t="s">
        <v>38</v>
      </c>
      <c r="B25" s="16"/>
      <c r="C25" s="16">
        <f>SUM(C26:C33)</f>
        <v>3816</v>
      </c>
      <c r="D25" s="16">
        <f>C25</f>
        <v>3816</v>
      </c>
      <c r="E25" s="5"/>
    </row>
    <row r="26" spans="1:5" x14ac:dyDescent="0.25">
      <c r="A26" s="7"/>
      <c r="B26" s="20" t="s">
        <v>72</v>
      </c>
      <c r="C26" s="20">
        <v>3097</v>
      </c>
      <c r="D26" s="4"/>
      <c r="E26" s="5"/>
    </row>
    <row r="27" spans="1:5" x14ac:dyDescent="0.25">
      <c r="A27" s="7"/>
      <c r="B27" s="20" t="s">
        <v>73</v>
      </c>
      <c r="C27" s="20">
        <v>385</v>
      </c>
      <c r="D27" s="4"/>
      <c r="E27" s="5"/>
    </row>
    <row r="28" spans="1:5" x14ac:dyDescent="0.25">
      <c r="A28" s="7"/>
      <c r="B28" s="20" t="s">
        <v>74</v>
      </c>
      <c r="C28" s="20">
        <v>35</v>
      </c>
      <c r="D28" s="4"/>
      <c r="E28" s="5"/>
    </row>
    <row r="29" spans="1:5" x14ac:dyDescent="0.25">
      <c r="A29" s="7"/>
      <c r="B29" s="20" t="s">
        <v>75</v>
      </c>
      <c r="C29" s="20">
        <v>250</v>
      </c>
      <c r="D29" s="4"/>
      <c r="E29" s="5"/>
    </row>
    <row r="30" spans="1:5" x14ac:dyDescent="0.25">
      <c r="A30" s="7"/>
      <c r="B30" s="20" t="s">
        <v>76</v>
      </c>
      <c r="C30" s="20">
        <v>4</v>
      </c>
      <c r="D30" s="4"/>
      <c r="E30" s="19" t="s">
        <v>77</v>
      </c>
    </row>
    <row r="31" spans="1:5" x14ac:dyDescent="0.25">
      <c r="A31" s="7"/>
      <c r="B31" s="20" t="s">
        <v>78</v>
      </c>
      <c r="C31" s="20">
        <v>6</v>
      </c>
      <c r="D31" s="4"/>
      <c r="E31" s="5"/>
    </row>
    <row r="32" spans="1:5" x14ac:dyDescent="0.25">
      <c r="A32" s="7"/>
      <c r="B32" s="20" t="s">
        <v>79</v>
      </c>
      <c r="C32" s="20">
        <f>9+18</f>
        <v>27</v>
      </c>
      <c r="D32" s="4"/>
      <c r="E32" s="5" t="s">
        <v>80</v>
      </c>
    </row>
    <row r="33" spans="1:5" x14ac:dyDescent="0.25">
      <c r="A33" s="7"/>
      <c r="B33" s="20" t="s">
        <v>81</v>
      </c>
      <c r="C33" s="20">
        <v>12</v>
      </c>
      <c r="D33" s="4"/>
      <c r="E33" s="5"/>
    </row>
    <row r="34" spans="1:5" x14ac:dyDescent="0.25">
      <c r="A34" s="16" t="s">
        <v>82</v>
      </c>
      <c r="B34" s="16"/>
      <c r="C34" s="16">
        <f>SUM(C35:C42)</f>
        <v>2369</v>
      </c>
      <c r="D34" s="22">
        <f t="shared" ref="D34" si="4">ROUNDUP(C34*1.15,0)</f>
        <v>2725</v>
      </c>
      <c r="E34" s="5"/>
    </row>
    <row r="35" spans="1:5" x14ac:dyDescent="0.25">
      <c r="A35" s="7"/>
      <c r="B35" s="20" t="s">
        <v>34</v>
      </c>
      <c r="C35" s="20">
        <v>2262</v>
      </c>
      <c r="D35" s="4"/>
      <c r="E35" s="5" t="s">
        <v>83</v>
      </c>
    </row>
    <row r="36" spans="1:5" x14ac:dyDescent="0.25">
      <c r="A36" s="7"/>
      <c r="B36" s="20" t="s">
        <v>84</v>
      </c>
      <c r="C36" s="20">
        <v>6</v>
      </c>
      <c r="D36" s="4"/>
      <c r="E36" s="5"/>
    </row>
    <row r="37" spans="1:5" x14ac:dyDescent="0.25">
      <c r="A37" s="7"/>
      <c r="B37" s="20" t="s">
        <v>85</v>
      </c>
      <c r="C37" s="20">
        <v>18</v>
      </c>
      <c r="D37" s="4"/>
      <c r="E37" s="5"/>
    </row>
    <row r="38" spans="1:5" x14ac:dyDescent="0.25">
      <c r="A38" s="7"/>
      <c r="B38" s="20" t="s">
        <v>86</v>
      </c>
      <c r="C38" s="20">
        <v>82</v>
      </c>
      <c r="D38" s="4"/>
      <c r="E38" s="5"/>
    </row>
    <row r="39" spans="1:5" x14ac:dyDescent="0.25">
      <c r="A39" s="7"/>
      <c r="B39" s="20" t="s">
        <v>87</v>
      </c>
      <c r="C39" s="20">
        <v>-3</v>
      </c>
      <c r="D39" s="4"/>
      <c r="E39" s="5"/>
    </row>
    <row r="40" spans="1:5" x14ac:dyDescent="0.25">
      <c r="A40" s="7"/>
      <c r="B40" s="20" t="s">
        <v>88</v>
      </c>
      <c r="C40" s="20">
        <v>-3</v>
      </c>
      <c r="D40" s="4"/>
      <c r="E40" s="5"/>
    </row>
    <row r="41" spans="1:5" x14ac:dyDescent="0.25">
      <c r="A41" s="7"/>
      <c r="B41" s="20" t="s">
        <v>89</v>
      </c>
      <c r="C41" s="20">
        <v>5</v>
      </c>
      <c r="D41" s="4"/>
      <c r="E41" s="5"/>
    </row>
    <row r="42" spans="1:5" x14ac:dyDescent="0.25">
      <c r="A42" s="7"/>
      <c r="B42" s="20" t="s">
        <v>90</v>
      </c>
      <c r="C42" s="20">
        <v>2</v>
      </c>
      <c r="D42" s="4"/>
      <c r="E42" s="5"/>
    </row>
    <row r="43" spans="1:5" x14ac:dyDescent="0.25">
      <c r="A43" s="16" t="s">
        <v>91</v>
      </c>
      <c r="B43" s="16"/>
      <c r="C43" s="16">
        <f>SUM(C44:C52)</f>
        <v>1803</v>
      </c>
      <c r="D43" s="22">
        <f t="shared" ref="D43" si="5">ROUNDUP(C43*1.15,0)</f>
        <v>2074</v>
      </c>
      <c r="E43" s="5"/>
    </row>
    <row r="44" spans="1:5" x14ac:dyDescent="0.25">
      <c r="A44" s="7"/>
      <c r="B44" s="20" t="s">
        <v>36</v>
      </c>
      <c r="C44" s="20">
        <v>1686</v>
      </c>
      <c r="D44" s="4"/>
      <c r="E44" s="5"/>
    </row>
    <row r="45" spans="1:5" x14ac:dyDescent="0.25">
      <c r="A45" s="7"/>
      <c r="B45" s="20" t="s">
        <v>92</v>
      </c>
      <c r="C45" s="20">
        <v>8</v>
      </c>
      <c r="D45" s="4"/>
      <c r="E45" s="5"/>
    </row>
    <row r="46" spans="1:5" x14ac:dyDescent="0.25">
      <c r="A46" s="7"/>
      <c r="B46" s="20" t="s">
        <v>93</v>
      </c>
      <c r="C46" s="20">
        <v>16</v>
      </c>
      <c r="D46" s="4"/>
      <c r="E46" s="5"/>
    </row>
    <row r="47" spans="1:5" x14ac:dyDescent="0.25">
      <c r="A47" s="7"/>
      <c r="B47" s="20" t="s">
        <v>94</v>
      </c>
      <c r="C47" s="20">
        <v>6</v>
      </c>
      <c r="D47" s="4"/>
      <c r="E47" s="5"/>
    </row>
    <row r="48" spans="1:5" x14ac:dyDescent="0.25">
      <c r="A48" s="7"/>
      <c r="B48" s="20" t="s">
        <v>95</v>
      </c>
      <c r="C48" s="20">
        <v>41</v>
      </c>
      <c r="D48" s="4"/>
      <c r="E48" s="5"/>
    </row>
    <row r="49" spans="1:5" x14ac:dyDescent="0.25">
      <c r="A49" s="7"/>
      <c r="B49" s="20" t="s">
        <v>96</v>
      </c>
      <c r="C49" s="20">
        <v>25</v>
      </c>
      <c r="D49" s="4"/>
      <c r="E49" s="5"/>
    </row>
    <row r="50" spans="1:5" x14ac:dyDescent="0.25">
      <c r="A50" s="7"/>
      <c r="B50" s="20" t="s">
        <v>97</v>
      </c>
      <c r="C50" s="20">
        <v>11</v>
      </c>
      <c r="D50" s="4"/>
      <c r="E50" s="5"/>
    </row>
    <row r="51" spans="1:5" x14ac:dyDescent="0.25">
      <c r="A51" s="7"/>
      <c r="B51" s="20" t="s">
        <v>98</v>
      </c>
      <c r="C51" s="20">
        <v>6</v>
      </c>
      <c r="D51" s="4"/>
      <c r="E51" s="5"/>
    </row>
    <row r="52" spans="1:5" x14ac:dyDescent="0.25">
      <c r="A52" s="7"/>
      <c r="B52" s="20" t="s">
        <v>99</v>
      </c>
      <c r="C52" s="20">
        <v>4</v>
      </c>
      <c r="D52" s="4"/>
      <c r="E52" s="5"/>
    </row>
    <row r="53" spans="1:5" x14ac:dyDescent="0.25">
      <c r="A53" s="16" t="s">
        <v>44</v>
      </c>
      <c r="C53" s="16">
        <f>SUM(C54:C57)</f>
        <v>282</v>
      </c>
      <c r="D53" s="22">
        <f t="shared" ref="D53" si="6">ROUNDUP(C53*1.15,0)</f>
        <v>325</v>
      </c>
      <c r="E53" s="5"/>
    </row>
    <row r="54" spans="1:5" x14ac:dyDescent="0.25">
      <c r="A54" s="7"/>
      <c r="B54" s="20" t="s">
        <v>46</v>
      </c>
      <c r="C54" s="20">
        <v>167</v>
      </c>
      <c r="D54" s="4"/>
      <c r="E54" s="5"/>
    </row>
    <row r="55" spans="1:5" x14ac:dyDescent="0.25">
      <c r="A55" s="7"/>
      <c r="B55" s="20" t="s">
        <v>100</v>
      </c>
      <c r="C55" s="20">
        <v>-21</v>
      </c>
      <c r="E55" s="5"/>
    </row>
    <row r="56" spans="1:5" x14ac:dyDescent="0.25">
      <c r="A56" s="7"/>
      <c r="B56" s="20" t="s">
        <v>101</v>
      </c>
      <c r="C56" s="20">
        <v>28</v>
      </c>
      <c r="D56" s="4"/>
      <c r="E56" s="5"/>
    </row>
    <row r="57" spans="1:5" x14ac:dyDescent="0.25">
      <c r="A57" s="7"/>
      <c r="B57" s="20" t="s">
        <v>45</v>
      </c>
      <c r="C57" s="20">
        <v>108</v>
      </c>
      <c r="D57" s="4"/>
      <c r="E57" s="5" t="s">
        <v>102</v>
      </c>
    </row>
    <row r="58" spans="1:5" x14ac:dyDescent="0.25">
      <c r="D58" s="23">
        <f>SUM(D2:D53)</f>
        <v>30515</v>
      </c>
    </row>
  </sheetData>
  <pageMargins left="0.70866141732283472" right="0.70866141732283472" top="0.35433070866141736" bottom="0.35433070866141736" header="0.31496062992125984" footer="0.31496062992125984"/>
  <pageSetup paperSize="9" scale="88" fitToHeight="0" orientation="portrait" blackAndWhite="1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גיליון1</vt:lpstr>
      <vt:lpstr>גיליון1 (2)</vt:lpstr>
      <vt:lpstr>'גיליון1 (2)'!WPrint_Area_W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menachemm</dc:creator>
  <cp:keywords/>
  <dc:description/>
  <cp:lastModifiedBy>Amir Mossek</cp:lastModifiedBy>
  <cp:revision/>
  <cp:lastPrinted>2020-07-19T09:01:27Z</cp:lastPrinted>
  <dcterms:created xsi:type="dcterms:W3CDTF">2020-04-28T05:42:25Z</dcterms:created>
  <dcterms:modified xsi:type="dcterms:W3CDTF">2025-03-25T09:08:19Z</dcterms:modified>
  <cp:category/>
  <cp:contentStatus/>
</cp:coreProperties>
</file>